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E2090D4-8EA8-4390-981E-ACAAEB9EB9E2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Итоги" sheetId="1" r:id="rId1"/>
    <sheet name="Сегменты" sheetId="2" r:id="rId2"/>
    <sheet name="Динамика" sheetId="3" r:id="rId3"/>
    <sheet name="Проверка групп" sheetId="4" r:id="rId4"/>
    <sheet name="Методология" sheetId="5" r:id="rId5"/>
  </sheets>
  <definedNames>
    <definedName name="_xlnm._FilterDatabase" localSheetId="1" hidden="1">Сегменты!$A$1:$F$7</definedName>
    <definedName name="Динамика">Динамика!$A$1:$C$17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D2" i="2"/>
  <c r="D7" i="2"/>
  <c r="D6" i="2"/>
  <c r="D3" i="2"/>
  <c r="D4" i="2"/>
  <c r="D5" i="2"/>
  <c r="H2" i="2" l="1"/>
  <c r="G3" i="2"/>
  <c r="H3" i="2" l="1"/>
  <c r="G4" i="2"/>
  <c r="G5" i="2" l="1"/>
  <c r="H4" i="2"/>
  <c r="G6" i="2" l="1"/>
  <c r="H5" i="2"/>
  <c r="G7" i="2" l="1"/>
  <c r="H7" i="2" s="1"/>
  <c r="H6" i="2"/>
</calcChain>
</file>

<file path=xl/sharedStrings.xml><?xml version="1.0" encoding="utf-8"?>
<sst xmlns="http://schemas.openxmlformats.org/spreadsheetml/2006/main" count="125" uniqueCount="110">
  <si>
    <t>Итоги A/B-теста</t>
  </si>
  <si>
    <t>Показатель</t>
  </si>
  <si>
    <t>Значение</t>
  </si>
  <si>
    <t>Период теста</t>
  </si>
  <si>
    <t>01.02.2021 – 16.02.2021</t>
  </si>
  <si>
    <t>C</t>
  </si>
  <si>
    <t>V1</t>
  </si>
  <si>
    <t>Размер группы C</t>
  </si>
  <si>
    <t>Размер группы V1</t>
  </si>
  <si>
    <t>Конверсия C</t>
  </si>
  <si>
    <t>Конверсия V1</t>
  </si>
  <si>
    <t>Абсолютный прирост</t>
  </si>
  <si>
    <t>Относительный прирост</t>
  </si>
  <si>
    <t>Нижняя граница 95% ДИ</t>
  </si>
  <si>
    <t>Верхняя граница 95% ДИ</t>
  </si>
  <si>
    <t>p-value</t>
  </si>
  <si>
    <t>Статистическая значимость</t>
  </si>
  <si>
    <t>Да</t>
  </si>
  <si>
    <t>Вывод</t>
  </si>
  <si>
    <t>Вариант V1 статистически значимо повысил конверсию на 8,43% относительно C</t>
  </si>
  <si>
    <t>p_value</t>
  </si>
  <si>
    <t>Referrals</t>
  </si>
  <si>
    <t>Direct</t>
  </si>
  <si>
    <t>Email Marketing</t>
  </si>
  <si>
    <t>Paid Search</t>
  </si>
  <si>
    <t>Organic</t>
  </si>
  <si>
    <t>Social Media</t>
  </si>
  <si>
    <t>Источник  трафика</t>
  </si>
  <si>
    <t>Абсолютный прирост, п.п.</t>
  </si>
  <si>
    <t>Дата</t>
  </si>
  <si>
    <t>Доля</t>
  </si>
  <si>
    <t>Группа</t>
  </si>
  <si>
    <t>Стабильность распределения по дням</t>
  </si>
  <si>
    <t>χ² = 2.397</t>
  </si>
  <si>
    <t>p-value = 0.791921</t>
  </si>
  <si>
    <t>Вывод: статистически значимых различий в распределении источников трафика между группами C и V1 не обнаружено.</t>
  </si>
  <si>
    <t>Источник трафика</t>
  </si>
  <si>
    <t>Тип устройства</t>
  </si>
  <si>
    <t>Язык браузера</t>
  </si>
  <si>
    <t>Вывод: статистически значимых различий в распределении языков браузера между группами C и V1 не обнаружено.</t>
  </si>
  <si>
    <t>Вывод: статистически значимых различий в распределении пользователей по признаку логина между группами C и V1 не обнаружено.</t>
  </si>
  <si>
    <t>Логин</t>
  </si>
  <si>
    <t>Регион</t>
  </si>
  <si>
    <t>Вывод: статистически значимых различий в распределении регионов между группами C и V1 не обнаружено.</t>
  </si>
  <si>
    <t>χ² = 3,355</t>
  </si>
  <si>
    <t>p-value = 0,500302</t>
  </si>
  <si>
    <t>χ² = 0,045</t>
  </si>
  <si>
    <t>p-value = 0,832782</t>
  </si>
  <si>
    <t>χ² = 2,410</t>
  </si>
  <si>
    <t>p-value = 0,660845</t>
  </si>
  <si>
    <t>Возвращаемость</t>
  </si>
  <si>
    <t>χ² = 5,199</t>
  </si>
  <si>
    <t>p-value = 0,022602</t>
  </si>
  <si>
    <t>Вывод: распределение статистически значимо различается между группами C и V1 (χ² = 5,199; p = 0,022602), однако фактическая разница составляет всего 0,52 п.п.</t>
  </si>
  <si>
    <t>Доля V1 по дням теста находилась в диапазоне от 4,49% до 4,81%
Вывод: распределение тестовой группы по дням было стабильным, выраженных перекосов в течение периода тестирования не наблюдалось.</t>
  </si>
  <si>
    <t>Итог проверки</t>
  </si>
  <si>
    <t>Цель анализа</t>
  </si>
  <si>
    <t>Раздел</t>
  </si>
  <si>
    <t>Описание</t>
  </si>
  <si>
    <t>Проверить, повлияло ли изменение в группе V1 на конверсию по сравнению с контрольной группой C.</t>
  </si>
  <si>
    <t>01.02.2021–16.02.2021</t>
  </si>
  <si>
    <t>Размер выборки</t>
  </si>
  <si>
    <t>Основная метрика</t>
  </si>
  <si>
    <t>Основной статистический тест</t>
  </si>
  <si>
    <t>Z-тест для двух пропорций — для сравнения конверсий в группах C и V1.</t>
  </si>
  <si>
    <t>Уровень значимости</t>
  </si>
  <si>
    <t>α = 0,05</t>
  </si>
  <si>
    <t>Правило принятия решения</t>
  </si>
  <si>
    <t>При p-value &lt; 0,05 различие считается статистически значимым. При p-value ≥ 0,05 статистически значимого различия не обнаружено.</t>
  </si>
  <si>
    <t>Дополнительные метрики</t>
  </si>
  <si>
    <t>Абсолютный прирост конверсии, относительный прирост (lift), 95% доверительный интервал.</t>
  </si>
  <si>
    <t>Анализ динамики</t>
  </si>
  <si>
    <t>Сравнение конверсии групп C и V1 по дням тестирования. Дополнительно проверена стабильность доли группы V1 по дням.</t>
  </si>
  <si>
    <t>Проверка групп</t>
  </si>
  <si>
    <t>Проверка категориальных признаков</t>
  </si>
  <si>
    <t>Для оценки различий в распределении категориальных признаков использован χ²-тест независимости.</t>
  </si>
  <si>
    <t>Ограничения</t>
  </si>
  <si>
    <t>Общий вывод</t>
  </si>
  <si>
    <r>
      <t xml:space="preserve">Вариант V1 показал статистически значимый рост конверсии по сравнению с контрольным вариантом C: </t>
    </r>
    <r>
      <rPr>
        <b/>
        <sz val="11"/>
        <color theme="1"/>
        <rFont val="Calibri"/>
        <family val="2"/>
        <scheme val="minor"/>
      </rPr>
      <t>10,85% против 10,01%</t>
    </r>
    <r>
      <rPr>
        <sz val="11"/>
        <color theme="1"/>
        <rFont val="Calibri"/>
        <family val="2"/>
        <scheme val="minor"/>
      </rPr>
      <t>.</t>
    </r>
  </si>
  <si>
    <t>Ограничения и особенности анализа</t>
  </si>
  <si>
    <r>
      <t xml:space="preserve">Абсолютный прирост конверсии составил </t>
    </r>
    <r>
      <rPr>
        <b/>
        <sz val="11"/>
        <color theme="1"/>
        <rFont val="Calibri"/>
        <family val="2"/>
        <scheme val="minor"/>
      </rPr>
      <t>+0,84 п.п.</t>
    </r>
    <r>
      <rPr>
        <sz val="11"/>
        <color theme="1"/>
        <rFont val="Calibri"/>
        <family val="2"/>
        <scheme val="minor"/>
      </rPr>
      <t xml:space="preserve">, относительный прирост </t>
    </r>
    <r>
      <rPr>
        <b/>
        <sz val="11"/>
        <color theme="1"/>
        <rFont val="Calibri"/>
        <family val="2"/>
        <scheme val="minor"/>
      </rPr>
      <t>+8,43%</t>
    </r>
    <r>
      <rPr>
        <sz val="11"/>
        <color theme="1"/>
        <rFont val="Calibri"/>
        <family val="2"/>
        <scheme val="minor"/>
      </rPr>
      <t>. Статистическая значимость подтверждена результатами A/B-теста (</t>
    </r>
    <r>
      <rPr>
        <b/>
        <sz val="11"/>
        <color theme="1"/>
        <rFont val="Calibri"/>
        <family val="2"/>
        <scheme val="minor"/>
      </rPr>
      <t>p-value = 1,51×10⁻⁹</t>
    </r>
    <r>
      <rPr>
        <sz val="11"/>
        <color theme="1"/>
        <rFont val="Calibri"/>
        <family val="2"/>
        <scheme val="minor"/>
      </rPr>
      <t>).</t>
    </r>
  </si>
  <si>
    <t>Вариант V1 показал статистически значимый рост конверсии и может рассматриваться как кандидат на внедрение. Рекомендуется подтвердить корректность распределения трафика и учесть различия эффекта между типами устройств.</t>
  </si>
  <si>
    <t>В данных отсутствует уникальный идентификатор пользователя, поэтому невозможно проверить, соответствует ли одна строка одному уникальному пользователю.</t>
  </si>
  <si>
    <t>p_value_Holm</t>
  </si>
  <si>
    <t>Значимо после Holm</t>
  </si>
  <si>
    <t>Устройство</t>
  </si>
  <si>
    <t>CR C, %</t>
  </si>
  <si>
    <t>CR V1, %</t>
  </si>
  <si>
    <t>p-value Holm</t>
  </si>
  <si>
    <t>Android</t>
  </si>
  <si>
    <t>0.0019</t>
  </si>
  <si>
    <t>0.0057</t>
  </si>
  <si>
    <t>Desktop</t>
  </si>
  <si>
    <t>&lt;0.0001</t>
  </si>
  <si>
    <t>Iphone</t>
  </si>
  <si>
    <t>0.7790</t>
  </si>
  <si>
    <t>Mweb</t>
  </si>
  <si>
    <t>0.0031</t>
  </si>
  <si>
    <t>0.0062</t>
  </si>
  <si>
    <t>Нет</t>
  </si>
  <si>
    <t>Наблюдений</t>
  </si>
  <si>
    <t>Распределение типов устройств между группами C и V1 статистически значимо различается (χ² = 1223,869; p &lt; 0,001). При этом общая сила связи между группой и типом устройства невелика (Cramer's V = 0,0342). Наибольшие различия в долях наблюдаются для Desktop (+6,55 п.п.) и Mweb (−3,94 п.п.).</t>
  </si>
  <si>
    <t>Вывод: несмотря на различия в составе групп по типам устройств, положительный эффект V1 сохраняется в большинстве сегментов. Статистически значимый прирост конверсии наблюдается для Mweb (+0,61 п.п.), Desktop (+1,59 п.п.) и Android (+1,44 п.п.). Для iPhone статистически значимого различия не обнаружено.</t>
  </si>
  <si>
    <t>Распределение тестовой группы по дням было стабильным. По источнику трафика, языку браузера, признаку логина и региону статистически значимых различий между группами не обнаружено. По типу устройства выявлено статистически значимое, но небольшое различие в составе групп. По возвращаемости различие также статистически значимо, однако его величина практически незначительна. При интерпретации результатов A/B-теста следует учитывать различия в составе групп по типам устройств.</t>
  </si>
  <si>
    <t>Проверено распределение наблюдений между C и V1, а также баланс по источнику трафика, типу устройства, языку браузера, признаку логина, региону и возвращаемости.</t>
  </si>
  <si>
    <t>C — 1 000 000 наблюдений; V1 — 48 575 наблюдений</t>
  </si>
  <si>
    <t>Conversion — доля наблюдений, в которых зафиксировано целевое действие.</t>
  </si>
  <si>
    <t>В данных отсутствует уникальный идентификатор пользователя, поэтому невозможно проверить, соответствует ли одна строка одному уникальному пользователю. 
Группы существенно различаются по объёму наблюдений: C — 95,37%, V1 — 4,63%. Без информации об ожидаемом распределении трафика такое соотношение нельзя однозначно считать ошибкой эксперимента.
Также выявлено статистически значимое различие в составе групп по типам устройств (Cramer's V = 0,0342) и статистически значимое, но практически незначительное различие по возвращаемости (Cramer's V = 0,0022). Эти особенности следует учитывать при интерпретации общего эффекта A/B-теста.</t>
  </si>
  <si>
    <t>При интерпретации результатов следует учитывать несбалансированный размер тестовых групп: 95,37% наблюдений относятся к группе C и 4,63% — к V1.</t>
  </si>
  <si>
    <r>
      <t xml:space="preserve">Также были выявлены </t>
    </r>
    <r>
      <rPr>
        <b/>
        <sz val="11"/>
        <color theme="1"/>
        <rFont val="Calibri"/>
        <family val="2"/>
        <charset val="204"/>
        <scheme val="minor"/>
      </rPr>
      <t>различия в распределении типов устройств между группами</t>
    </r>
    <r>
      <rPr>
        <sz val="11"/>
        <color theme="1"/>
        <rFont val="Calibri"/>
        <family val="2"/>
        <charset val="204"/>
        <scheme val="minor"/>
      </rPr>
      <t>, поэтому состав аудитории необходимо учитывать при интерпретации общего эффекта.
Дополнительный анализ сегментов позволяет оценить, одинаково ли проявляется эффект V1 по источникам трафика и типам устройств.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</si>
</sst>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0&quot; п.п.&quot;"/>
    <numFmt numFmtId="166" formatCode="0.00&quot; п.п.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8"/>
      <color theme="1"/>
      <name val="Segoe UI"/>
      <family val="2"/>
      <charset val="204"/>
    </font>
    <font>
      <sz val="8"/>
      <color theme="1"/>
      <name val="Segoe UI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/>
    <xf numFmtId="165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164" fontId="8" fillId="2" borderId="0" xfId="1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/>
    </xf>
    <xf numFmtId="10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10" fillId="3" borderId="0" xfId="0" applyFont="1" applyFill="1" applyAlignment="1">
      <alignment horizontal="right" vertical="center" wrapText="1"/>
    </xf>
    <xf numFmtId="10" fontId="10" fillId="3" borderId="0" xfId="1" applyNumberFormat="1" applyFont="1" applyFill="1" applyAlignment="1">
      <alignment horizontal="right" vertical="center" wrapText="1"/>
    </xf>
    <xf numFmtId="166" fontId="10" fillId="3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14" fontId="10" fillId="0" borderId="0" xfId="0" applyNumberFormat="1" applyFont="1" applyAlignment="1">
      <alignment horizontal="right" vertical="center"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8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14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15" fillId="0" borderId="0" xfId="0" applyFont="1"/>
    <xf numFmtId="0" fontId="16" fillId="0" borderId="0" xfId="0" applyFont="1"/>
    <xf numFmtId="0" fontId="9" fillId="3" borderId="0" xfId="0" applyFont="1" applyFill="1" applyAlignment="1">
      <alignment horizontal="left" wrapText="1"/>
    </xf>
    <xf numFmtId="0" fontId="9" fillId="0" borderId="0" xfId="0" applyFont="1" applyAlignment="1">
      <alignment horizontal="left"/>
    </xf>
    <xf numFmtId="0" fontId="15" fillId="0" borderId="0" xfId="0" applyFont="1" applyAlignment="1"/>
    <xf numFmtId="10" fontId="0" fillId="0" borderId="0" xfId="1" applyNumberFormat="1" applyFont="1"/>
    <xf numFmtId="10" fontId="10" fillId="0" borderId="0" xfId="1" applyNumberFormat="1" applyFont="1" applyAlignment="1">
      <alignment horizontal="right" vertical="center" wrapText="1"/>
    </xf>
    <xf numFmtId="0" fontId="2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/>
              <a:t>Динамика конверсии по дням</a:t>
            </a:r>
            <a:endParaRPr lang="ru-RU" b="1"/>
          </a:p>
        </c:rich>
      </c:tx>
      <c:layout>
        <c:manualLayout>
          <c:xMode val="edge"/>
          <c:yMode val="edge"/>
          <c:x val="0.2455693350831146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Динамика!$B$1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Динамика!$A$2:$A$17</c:f>
              <c:numCache>
                <c:formatCode>m/d/yyyy</c:formatCode>
                <c:ptCount val="16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</c:numCache>
            </c:numRef>
          </c:cat>
          <c:val>
            <c:numRef>
              <c:f>Динамика!$B$2:$B$17</c:f>
              <c:numCache>
                <c:formatCode>0.00%</c:formatCode>
                <c:ptCount val="16"/>
                <c:pt idx="0">
                  <c:v>0.101199</c:v>
                </c:pt>
                <c:pt idx="1">
                  <c:v>9.9531999999999995E-2</c:v>
                </c:pt>
                <c:pt idx="2">
                  <c:v>0.10138</c:v>
                </c:pt>
                <c:pt idx="3">
                  <c:v>0.10091799999999999</c:v>
                </c:pt>
                <c:pt idx="4">
                  <c:v>0.100525</c:v>
                </c:pt>
                <c:pt idx="5">
                  <c:v>0.10038900000000001</c:v>
                </c:pt>
                <c:pt idx="6">
                  <c:v>9.8827999999999999E-2</c:v>
                </c:pt>
                <c:pt idx="7">
                  <c:v>0.102273</c:v>
                </c:pt>
                <c:pt idx="8">
                  <c:v>9.8360000000000003E-2</c:v>
                </c:pt>
                <c:pt idx="9">
                  <c:v>9.9780999999999995E-2</c:v>
                </c:pt>
                <c:pt idx="10">
                  <c:v>9.9343000000000001E-2</c:v>
                </c:pt>
                <c:pt idx="11">
                  <c:v>9.9007999999999999E-2</c:v>
                </c:pt>
                <c:pt idx="12">
                  <c:v>9.8737000000000005E-2</c:v>
                </c:pt>
                <c:pt idx="13">
                  <c:v>0.10050199999999999</c:v>
                </c:pt>
                <c:pt idx="14">
                  <c:v>0.100188</c:v>
                </c:pt>
                <c:pt idx="15">
                  <c:v>0.100521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0-43F8-930E-80F5B4DFA0E3}"/>
            </c:ext>
          </c:extLst>
        </c:ser>
        <c:ser>
          <c:idx val="1"/>
          <c:order val="1"/>
          <c:tx>
            <c:strRef>
              <c:f>Динамика!$C$1</c:f>
              <c:strCache>
                <c:ptCount val="1"/>
                <c:pt idx="0">
                  <c:v>V1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Динамика!$A$2:$A$17</c:f>
              <c:numCache>
                <c:formatCode>m/d/yyyy</c:formatCode>
                <c:ptCount val="16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</c:numCache>
            </c:numRef>
          </c:cat>
          <c:val>
            <c:numRef>
              <c:f>Динамика!$C$2:$C$17</c:f>
              <c:numCache>
                <c:formatCode>0.00%</c:formatCode>
                <c:ptCount val="16"/>
                <c:pt idx="0">
                  <c:v>9.8572000000000007E-2</c:v>
                </c:pt>
                <c:pt idx="1">
                  <c:v>0.107934</c:v>
                </c:pt>
                <c:pt idx="2">
                  <c:v>0.11488900000000001</c:v>
                </c:pt>
                <c:pt idx="3">
                  <c:v>9.8732E-2</c:v>
                </c:pt>
                <c:pt idx="4">
                  <c:v>0.114098</c:v>
                </c:pt>
                <c:pt idx="5">
                  <c:v>0.113214</c:v>
                </c:pt>
                <c:pt idx="6">
                  <c:v>0.106319</c:v>
                </c:pt>
                <c:pt idx="7">
                  <c:v>0.10100000000000001</c:v>
                </c:pt>
                <c:pt idx="8">
                  <c:v>0.105825</c:v>
                </c:pt>
                <c:pt idx="9">
                  <c:v>0.104868</c:v>
                </c:pt>
                <c:pt idx="10">
                  <c:v>0.11160399999999999</c:v>
                </c:pt>
                <c:pt idx="11">
                  <c:v>0.115122</c:v>
                </c:pt>
                <c:pt idx="12">
                  <c:v>0.109115</c:v>
                </c:pt>
                <c:pt idx="13">
                  <c:v>0.110566</c:v>
                </c:pt>
                <c:pt idx="14">
                  <c:v>0.113413</c:v>
                </c:pt>
                <c:pt idx="15">
                  <c:v>0.110747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90-43F8-930E-80F5B4DFA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173232"/>
        <c:axId val="254176976"/>
      </c:lineChart>
      <c:dateAx>
        <c:axId val="254173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176976"/>
        <c:crosses val="autoZero"/>
        <c:auto val="1"/>
        <c:lblOffset val="100"/>
        <c:baseTimeUnit val="days"/>
      </c:dateAx>
      <c:valAx>
        <c:axId val="2541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17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065309" cy="2209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EA0E51-783F-488C-85F0-6844C38A5310}"/>
            </a:ext>
          </a:extLst>
        </xdr:cNvPr>
        <xdr:cNvSpPr txBox="1"/>
      </xdr:nvSpPr>
      <xdr:spPr>
        <a:xfrm>
          <a:off x="0" y="38100"/>
          <a:ext cx="2065309" cy="220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900" b="1"/>
            <a:t>Анализ по источникам трафика</a:t>
          </a:r>
        </a:p>
      </xdr:txBody>
    </xdr:sp>
    <xdr:clientData/>
  </xdr:oneCellAnchor>
  <xdr:oneCellAnchor>
    <xdr:from>
      <xdr:col>12</xdr:col>
      <xdr:colOff>579120</xdr:colOff>
      <xdr:row>0</xdr:row>
      <xdr:rowOff>45720</xdr:rowOff>
    </xdr:from>
    <xdr:ext cx="154754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4F42E5-CEBA-42C4-A03E-38EB9F43FE2B}"/>
            </a:ext>
          </a:extLst>
        </xdr:cNvPr>
        <xdr:cNvSpPr txBox="1"/>
      </xdr:nvSpPr>
      <xdr:spPr>
        <a:xfrm>
          <a:off x="7117080" y="45720"/>
          <a:ext cx="15475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900" b="1"/>
            <a:t>Анализ по типам устройств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179070</xdr:rowOff>
    </xdr:from>
    <xdr:to>
      <xdr:col>11</xdr:col>
      <xdr:colOff>320040</xdr:colOff>
      <xdr:row>15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CC446B-5A57-48BC-AA8E-CCBA16A2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0" workbookViewId="0">
      <selection activeCell="D18" sqref="D18"/>
    </sheetView>
  </sheetViews>
  <sheetFormatPr defaultRowHeight="14.4" x14ac:dyDescent="0.3"/>
  <cols>
    <col min="1" max="2" width="65.77734375" style="2" customWidth="1"/>
    <col min="3" max="16384" width="8.88671875" style="4"/>
  </cols>
  <sheetData>
    <row r="1" spans="1:4" ht="18" x14ac:dyDescent="0.35">
      <c r="A1" s="42" t="s">
        <v>0</v>
      </c>
      <c r="B1" s="42"/>
    </row>
    <row r="3" spans="1:4" x14ac:dyDescent="0.3">
      <c r="A3" s="9" t="s">
        <v>1</v>
      </c>
      <c r="B3" s="9" t="s">
        <v>2</v>
      </c>
    </row>
    <row r="4" spans="1:4" x14ac:dyDescent="0.3">
      <c r="A4" s="2" t="s">
        <v>3</v>
      </c>
      <c r="B4" s="2" t="s">
        <v>4</v>
      </c>
    </row>
    <row r="5" spans="1:4" ht="15.6" x14ac:dyDescent="0.3">
      <c r="A5" s="3" t="s">
        <v>7</v>
      </c>
      <c r="B5" s="2">
        <v>1000000</v>
      </c>
    </row>
    <row r="6" spans="1:4" ht="15.6" x14ac:dyDescent="0.3">
      <c r="A6" s="3" t="s">
        <v>8</v>
      </c>
      <c r="B6" s="2">
        <v>48575</v>
      </c>
    </row>
    <row r="7" spans="1:4" ht="15.6" x14ac:dyDescent="0.3">
      <c r="A7" s="10" t="s">
        <v>9</v>
      </c>
      <c r="B7" s="11">
        <v>0.100092</v>
      </c>
      <c r="D7" s="1"/>
    </row>
    <row r="8" spans="1:4" ht="15.6" x14ac:dyDescent="0.3">
      <c r="A8" s="10" t="s">
        <v>10</v>
      </c>
      <c r="B8" s="11">
        <v>0.108533</v>
      </c>
      <c r="D8" s="1"/>
    </row>
    <row r="9" spans="1:4" x14ac:dyDescent="0.3">
      <c r="A9" s="10" t="s">
        <v>11</v>
      </c>
      <c r="B9" s="12">
        <v>0.84411960885228898</v>
      </c>
    </row>
    <row r="10" spans="1:4" x14ac:dyDescent="0.3">
      <c r="A10" s="10" t="s">
        <v>12</v>
      </c>
      <c r="B10" s="13">
        <v>8.4334373261827994E-2</v>
      </c>
    </row>
    <row r="11" spans="1:4" x14ac:dyDescent="0.3">
      <c r="A11" s="2" t="s">
        <v>13</v>
      </c>
      <c r="B11" s="5">
        <v>0.56131942672822599</v>
      </c>
    </row>
    <row r="12" spans="1:4" x14ac:dyDescent="0.3">
      <c r="A12" s="2" t="s">
        <v>14</v>
      </c>
      <c r="B12" s="5">
        <v>1.12691979097635</v>
      </c>
    </row>
    <row r="13" spans="1:4" x14ac:dyDescent="0.3">
      <c r="A13" t="s">
        <v>15</v>
      </c>
      <c r="B13" s="6">
        <v>1.5118337715343301E-9</v>
      </c>
    </row>
    <row r="14" spans="1:4" x14ac:dyDescent="0.3">
      <c r="A14" s="10" t="s">
        <v>16</v>
      </c>
      <c r="B14" s="14" t="s">
        <v>17</v>
      </c>
    </row>
    <row r="15" spans="1:4" ht="33.6" customHeight="1" x14ac:dyDescent="0.3">
      <c r="A15" s="8" t="s">
        <v>18</v>
      </c>
      <c r="B15" s="7" t="s">
        <v>19</v>
      </c>
    </row>
    <row r="17" spans="1:2" s="23" customFormat="1" ht="18" x14ac:dyDescent="0.3">
      <c r="A17" s="32" t="s">
        <v>77</v>
      </c>
      <c r="B17" s="32" t="s">
        <v>79</v>
      </c>
    </row>
    <row r="18" spans="1:2" s="23" customFormat="1" ht="43.2" x14ac:dyDescent="0.3">
      <c r="A18" s="31" t="s">
        <v>78</v>
      </c>
      <c r="B18" s="31" t="s">
        <v>108</v>
      </c>
    </row>
    <row r="19" spans="1:2" s="23" customFormat="1" ht="43.2" x14ac:dyDescent="0.3">
      <c r="A19" s="31" t="s">
        <v>80</v>
      </c>
      <c r="B19" s="23" t="s">
        <v>82</v>
      </c>
    </row>
    <row r="20" spans="1:2" s="23" customFormat="1" ht="72" x14ac:dyDescent="0.3">
      <c r="A20" s="33" t="s">
        <v>81</v>
      </c>
      <c r="B20" s="41" t="s">
        <v>109</v>
      </c>
    </row>
    <row r="21" spans="1:2" s="23" customFormat="1" x14ac:dyDescent="0.3">
      <c r="B21" s="7"/>
    </row>
    <row r="22" spans="1:2" s="23" customFormat="1" x14ac:dyDescent="0.3">
      <c r="B22" s="7"/>
    </row>
    <row r="23" spans="1:2" s="23" customFormat="1" x14ac:dyDescent="0.3">
      <c r="B23" s="7"/>
    </row>
    <row r="24" spans="1:2" s="23" customFormat="1" x14ac:dyDescent="0.3">
      <c r="B24" s="7"/>
    </row>
    <row r="25" spans="1:2" s="23" customFormat="1" x14ac:dyDescent="0.3">
      <c r="A25" s="7"/>
      <c r="B25" s="7"/>
    </row>
    <row r="26" spans="1:2" s="23" customFormat="1" x14ac:dyDescent="0.3">
      <c r="A26" s="7"/>
      <c r="B26" s="7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2B60-4C14-4261-9E1E-917708EC9D95}">
  <dimension ref="A1:R11"/>
  <sheetViews>
    <sheetView workbookViewId="0">
      <selection activeCell="O1" sqref="O1"/>
    </sheetView>
  </sheetViews>
  <sheetFormatPr defaultRowHeight="10.199999999999999" x14ac:dyDescent="0.2"/>
  <cols>
    <col min="1" max="1" width="8.88671875" style="34"/>
    <col min="2" max="2" width="9.88671875" style="34" customWidth="1"/>
    <col min="3" max="4" width="10.88671875" style="34" customWidth="1"/>
    <col min="5" max="6" width="14.109375" style="34" customWidth="1"/>
    <col min="7" max="7" width="8.88671875" style="34" customWidth="1"/>
    <col min="8" max="8" width="8.88671875" style="34"/>
    <col min="9" max="9" width="8.88671875" style="34" customWidth="1"/>
    <col min="10" max="10" width="10.77734375" style="34" customWidth="1"/>
    <col min="11" max="14" width="8.88671875" style="34"/>
    <col min="15" max="15" width="11.44140625" style="34" customWidth="1"/>
    <col min="16" max="16" width="11" style="34" customWidth="1"/>
    <col min="17" max="17" width="11.21875" style="34" customWidth="1"/>
    <col min="18" max="18" width="12.21875" style="34" customWidth="1"/>
    <col min="19" max="16384" width="8.88671875" style="34"/>
  </cols>
  <sheetData>
    <row r="1" spans="1:18" s="38" customFormat="1" ht="49.8" customHeight="1" x14ac:dyDescent="0.25">
      <c r="A1" s="36" t="s">
        <v>27</v>
      </c>
      <c r="B1" s="36" t="s">
        <v>86</v>
      </c>
      <c r="C1" s="36" t="s">
        <v>87</v>
      </c>
      <c r="D1" s="36" t="s">
        <v>28</v>
      </c>
      <c r="E1" s="36" t="s">
        <v>12</v>
      </c>
      <c r="F1" s="36" t="s">
        <v>20</v>
      </c>
      <c r="G1" s="36" t="s">
        <v>83</v>
      </c>
      <c r="H1" s="36" t="s">
        <v>84</v>
      </c>
      <c r="K1" s="37" t="s">
        <v>85</v>
      </c>
      <c r="L1" s="36" t="s">
        <v>86</v>
      </c>
      <c r="M1" s="36" t="s">
        <v>87</v>
      </c>
      <c r="N1" s="36" t="s">
        <v>28</v>
      </c>
      <c r="O1" s="36" t="s">
        <v>12</v>
      </c>
      <c r="P1" s="36" t="s">
        <v>20</v>
      </c>
      <c r="Q1" s="37" t="s">
        <v>88</v>
      </c>
      <c r="R1" s="36" t="s">
        <v>84</v>
      </c>
    </row>
    <row r="2" spans="1:18" ht="11.4" x14ac:dyDescent="0.2">
      <c r="A2" s="15" t="s">
        <v>22</v>
      </c>
      <c r="B2" s="16">
        <v>0.100289</v>
      </c>
      <c r="C2" s="16">
        <v>0.113441</v>
      </c>
      <c r="D2" s="17" t="e">
        <f>#REF!*100</f>
        <v>#REF!</v>
      </c>
      <c r="E2" s="16">
        <v>0.13114700000000001</v>
      </c>
      <c r="F2" s="15">
        <v>2.6999999999999999E-5</v>
      </c>
      <c r="G2" s="34" t="e">
        <f>#REF!</f>
        <v>#REF!</v>
      </c>
      <c r="H2" s="34" t="e">
        <f>IF(G2&lt;0.05,"Да","Нет")</f>
        <v>#REF!</v>
      </c>
      <c r="K2" s="34" t="s">
        <v>89</v>
      </c>
      <c r="L2" s="34">
        <v>10.06</v>
      </c>
      <c r="M2" s="34">
        <v>11.5</v>
      </c>
      <c r="N2" s="34">
        <v>1.44</v>
      </c>
      <c r="O2" s="34">
        <v>14.29</v>
      </c>
      <c r="P2" s="34" t="s">
        <v>90</v>
      </c>
      <c r="Q2" s="34" t="s">
        <v>91</v>
      </c>
      <c r="R2" s="34" t="s">
        <v>17</v>
      </c>
    </row>
    <row r="3" spans="1:18" ht="11.4" x14ac:dyDescent="0.2">
      <c r="A3" s="15" t="s">
        <v>25</v>
      </c>
      <c r="B3" s="16">
        <v>9.9968000000000001E-2</v>
      </c>
      <c r="C3" s="16">
        <v>0.109239</v>
      </c>
      <c r="D3" s="17" t="e">
        <f>#REF!*100</f>
        <v>#REF!</v>
      </c>
      <c r="E3" s="16">
        <v>9.2738000000000001E-2</v>
      </c>
      <c r="F3" s="15">
        <v>2.8E-5</v>
      </c>
      <c r="G3" s="34" t="e">
        <f>MAX(G2,#REF!)</f>
        <v>#REF!</v>
      </c>
      <c r="H3" s="34" t="e">
        <f t="shared" ref="H3:H7" si="0">IF(G3&lt;0.05,"Да","Нет")</f>
        <v>#REF!</v>
      </c>
      <c r="K3" s="34" t="s">
        <v>92</v>
      </c>
      <c r="L3" s="34">
        <v>9.94</v>
      </c>
      <c r="M3" s="34">
        <v>11.52</v>
      </c>
      <c r="N3" s="34">
        <v>1.59</v>
      </c>
      <c r="O3" s="34">
        <v>15.97</v>
      </c>
      <c r="P3" s="34" t="s">
        <v>93</v>
      </c>
      <c r="Q3" s="34" t="s">
        <v>93</v>
      </c>
      <c r="R3" s="34" t="s">
        <v>17</v>
      </c>
    </row>
    <row r="4" spans="1:18" ht="22.8" x14ac:dyDescent="0.2">
      <c r="A4" s="15" t="s">
        <v>26</v>
      </c>
      <c r="B4" s="16">
        <v>9.7439999999999999E-2</v>
      </c>
      <c r="C4" s="16">
        <v>0.107769</v>
      </c>
      <c r="D4" s="17" t="e">
        <f>#REF!*100</f>
        <v>#REF!</v>
      </c>
      <c r="E4" s="16">
        <v>0.106003</v>
      </c>
      <c r="F4" s="15">
        <v>4.7092000000000002E-2</v>
      </c>
      <c r="G4" s="34" t="e">
        <f>MAX(G3,#REF!)</f>
        <v>#REF!</v>
      </c>
      <c r="H4" s="34" t="e">
        <f t="shared" si="0"/>
        <v>#REF!</v>
      </c>
      <c r="K4" s="34" t="s">
        <v>94</v>
      </c>
      <c r="L4" s="34">
        <v>10.01</v>
      </c>
      <c r="M4" s="34">
        <v>10.1</v>
      </c>
      <c r="N4" s="34">
        <v>0.09</v>
      </c>
      <c r="O4" s="34">
        <v>0.91</v>
      </c>
      <c r="P4" s="34" t="s">
        <v>95</v>
      </c>
      <c r="Q4" s="34" t="s">
        <v>95</v>
      </c>
      <c r="R4" s="34" t="s">
        <v>99</v>
      </c>
    </row>
    <row r="5" spans="1:18" ht="11.4" x14ac:dyDescent="0.2">
      <c r="A5" s="15" t="s">
        <v>21</v>
      </c>
      <c r="B5" s="16">
        <v>0.101683</v>
      </c>
      <c r="C5" s="16">
        <v>0.108764</v>
      </c>
      <c r="D5" s="17" t="e">
        <f>#REF!*100</f>
        <v>#REF!</v>
      </c>
      <c r="E5" s="16">
        <v>6.9633E-2</v>
      </c>
      <c r="F5" s="15">
        <v>5.0386E-2</v>
      </c>
      <c r="G5" s="34" t="e">
        <f>MAX(G4,#REF!)</f>
        <v>#REF!</v>
      </c>
      <c r="H5" s="34" t="e">
        <f t="shared" si="0"/>
        <v>#REF!</v>
      </c>
      <c r="K5" s="34" t="s">
        <v>96</v>
      </c>
      <c r="L5" s="34">
        <v>10.029999999999999</v>
      </c>
      <c r="M5" s="34">
        <v>10.64</v>
      </c>
      <c r="N5" s="34">
        <v>0.61</v>
      </c>
      <c r="O5" s="34">
        <v>6.07</v>
      </c>
      <c r="P5" s="34" t="s">
        <v>97</v>
      </c>
      <c r="Q5" s="34" t="s">
        <v>98</v>
      </c>
      <c r="R5" s="34" t="s">
        <v>17</v>
      </c>
    </row>
    <row r="6" spans="1:18" ht="11.4" x14ac:dyDescent="0.2">
      <c r="A6" s="15" t="s">
        <v>24</v>
      </c>
      <c r="B6" s="16">
        <v>9.9971000000000004E-2</v>
      </c>
      <c r="C6" s="16">
        <v>0.10595400000000001</v>
      </c>
      <c r="D6" s="17" t="e">
        <f>#REF!*100</f>
        <v>#REF!</v>
      </c>
      <c r="E6" s="16">
        <v>5.9841999999999999E-2</v>
      </c>
      <c r="F6" s="15">
        <v>0.171066</v>
      </c>
      <c r="G6" s="34" t="e">
        <f>MAX(G5,#REF!)</f>
        <v>#REF!</v>
      </c>
      <c r="H6" s="34" t="e">
        <f t="shared" si="0"/>
        <v>#REF!</v>
      </c>
    </row>
    <row r="7" spans="1:18" ht="22.8" x14ac:dyDescent="0.2">
      <c r="A7" s="15" t="s">
        <v>23</v>
      </c>
      <c r="B7" s="16">
        <v>9.9692000000000003E-2</v>
      </c>
      <c r="C7" s="16">
        <v>9.6133999999999997E-2</v>
      </c>
      <c r="D7" s="17" t="e">
        <f>#REF!*100</f>
        <v>#REF!</v>
      </c>
      <c r="E7" s="16">
        <v>-3.569E-2</v>
      </c>
      <c r="F7" s="15">
        <v>0.47257500000000002</v>
      </c>
      <c r="G7" s="34" t="e">
        <f>MAX(G6,#REF!)</f>
        <v>#REF!</v>
      </c>
      <c r="H7" s="34" t="e">
        <f t="shared" si="0"/>
        <v>#REF!</v>
      </c>
    </row>
    <row r="11" spans="1:18" s="35" customFormat="1" x14ac:dyDescent="0.2"/>
  </sheetData>
  <autoFilter ref="A1:H7" xr:uid="{10FE2B60-4C14-4261-9E1E-917708EC9D95}"/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9C70-F9B8-4EFC-AF7E-7FE5A4040B62}">
  <dimension ref="A1:C17"/>
  <sheetViews>
    <sheetView workbookViewId="0">
      <selection activeCell="F24" sqref="F24"/>
    </sheetView>
  </sheetViews>
  <sheetFormatPr defaultRowHeight="14.4" x14ac:dyDescent="0.3"/>
  <sheetData>
    <row r="1" spans="1:3" x14ac:dyDescent="0.3">
      <c r="A1" s="18" t="s">
        <v>29</v>
      </c>
      <c r="B1" s="18" t="s">
        <v>5</v>
      </c>
      <c r="C1" s="18" t="s">
        <v>6</v>
      </c>
    </row>
    <row r="2" spans="1:3" x14ac:dyDescent="0.3">
      <c r="A2" s="19">
        <v>44228</v>
      </c>
      <c r="B2" s="40">
        <v>0.101199</v>
      </c>
      <c r="C2" s="40">
        <v>9.8572000000000007E-2</v>
      </c>
    </row>
    <row r="3" spans="1:3" x14ac:dyDescent="0.3">
      <c r="A3" s="19">
        <v>44229</v>
      </c>
      <c r="B3" s="40">
        <v>9.9531999999999995E-2</v>
      </c>
      <c r="C3" s="40">
        <v>0.107934</v>
      </c>
    </row>
    <row r="4" spans="1:3" x14ac:dyDescent="0.3">
      <c r="A4" s="19">
        <v>44230</v>
      </c>
      <c r="B4" s="40">
        <v>0.10138</v>
      </c>
      <c r="C4" s="40">
        <v>0.11488900000000001</v>
      </c>
    </row>
    <row r="5" spans="1:3" x14ac:dyDescent="0.3">
      <c r="A5" s="19">
        <v>44231</v>
      </c>
      <c r="B5" s="40">
        <v>0.10091799999999999</v>
      </c>
      <c r="C5" s="40">
        <v>9.8732E-2</v>
      </c>
    </row>
    <row r="6" spans="1:3" x14ac:dyDescent="0.3">
      <c r="A6" s="19">
        <v>44232</v>
      </c>
      <c r="B6" s="40">
        <v>0.100525</v>
      </c>
      <c r="C6" s="40">
        <v>0.114098</v>
      </c>
    </row>
    <row r="7" spans="1:3" x14ac:dyDescent="0.3">
      <c r="A7" s="19">
        <v>44233</v>
      </c>
      <c r="B7" s="40">
        <v>0.10038900000000001</v>
      </c>
      <c r="C7" s="40">
        <v>0.113214</v>
      </c>
    </row>
    <row r="8" spans="1:3" x14ac:dyDescent="0.3">
      <c r="A8" s="19">
        <v>44234</v>
      </c>
      <c r="B8" s="40">
        <v>9.8827999999999999E-2</v>
      </c>
      <c r="C8" s="40">
        <v>0.106319</v>
      </c>
    </row>
    <row r="9" spans="1:3" x14ac:dyDescent="0.3">
      <c r="A9" s="19">
        <v>44235</v>
      </c>
      <c r="B9" s="40">
        <v>0.102273</v>
      </c>
      <c r="C9" s="40">
        <v>0.10100000000000001</v>
      </c>
    </row>
    <row r="10" spans="1:3" x14ac:dyDescent="0.3">
      <c r="A10" s="19">
        <v>44236</v>
      </c>
      <c r="B10" s="40">
        <v>9.8360000000000003E-2</v>
      </c>
      <c r="C10" s="40">
        <v>0.105825</v>
      </c>
    </row>
    <row r="11" spans="1:3" x14ac:dyDescent="0.3">
      <c r="A11" s="19">
        <v>44237</v>
      </c>
      <c r="B11" s="40">
        <v>9.9780999999999995E-2</v>
      </c>
      <c r="C11" s="40">
        <v>0.104868</v>
      </c>
    </row>
    <row r="12" spans="1:3" x14ac:dyDescent="0.3">
      <c r="A12" s="19">
        <v>44238</v>
      </c>
      <c r="B12" s="40">
        <v>9.9343000000000001E-2</v>
      </c>
      <c r="C12" s="40">
        <v>0.11160399999999999</v>
      </c>
    </row>
    <row r="13" spans="1:3" x14ac:dyDescent="0.3">
      <c r="A13" s="19">
        <v>44239</v>
      </c>
      <c r="B13" s="40">
        <v>9.9007999999999999E-2</v>
      </c>
      <c r="C13" s="40">
        <v>0.115122</v>
      </c>
    </row>
    <row r="14" spans="1:3" x14ac:dyDescent="0.3">
      <c r="A14" s="19">
        <v>44240</v>
      </c>
      <c r="B14" s="40">
        <v>9.8737000000000005E-2</v>
      </c>
      <c r="C14" s="40">
        <v>0.109115</v>
      </c>
    </row>
    <row r="15" spans="1:3" x14ac:dyDescent="0.3">
      <c r="A15" s="19">
        <v>44241</v>
      </c>
      <c r="B15" s="40">
        <v>0.10050199999999999</v>
      </c>
      <c r="C15" s="40">
        <v>0.110566</v>
      </c>
    </row>
    <row r="16" spans="1:3" x14ac:dyDescent="0.3">
      <c r="A16" s="19">
        <v>44242</v>
      </c>
      <c r="B16" s="40">
        <v>0.100188</v>
      </c>
      <c r="C16" s="40">
        <v>0.113413</v>
      </c>
    </row>
    <row r="17" spans="1:3" x14ac:dyDescent="0.3">
      <c r="A17" s="19">
        <v>44243</v>
      </c>
      <c r="B17" s="40">
        <v>0.100521</v>
      </c>
      <c r="C17" s="40">
        <v>0.110747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0906-E96D-403F-B7CA-908FFC55F725}">
  <dimension ref="A1:D33"/>
  <sheetViews>
    <sheetView topLeftCell="A6" workbookViewId="0">
      <selection activeCell="C33" sqref="C33"/>
    </sheetView>
  </sheetViews>
  <sheetFormatPr defaultRowHeight="14.4" x14ac:dyDescent="0.3"/>
  <cols>
    <col min="1" max="1" width="50.44140625" style="23" customWidth="1"/>
    <col min="2" max="3" width="17.77734375" customWidth="1"/>
  </cols>
  <sheetData>
    <row r="1" spans="1:4" ht="15.6" x14ac:dyDescent="0.3">
      <c r="A1" s="20" t="s">
        <v>31</v>
      </c>
      <c r="B1" s="20" t="s">
        <v>100</v>
      </c>
      <c r="C1" s="21" t="s">
        <v>30</v>
      </c>
    </row>
    <row r="2" spans="1:4" x14ac:dyDescent="0.3">
      <c r="A2" t="s">
        <v>5</v>
      </c>
      <c r="B2">
        <v>1000000</v>
      </c>
      <c r="C2" s="39">
        <v>0.95367500000000005</v>
      </c>
    </row>
    <row r="3" spans="1:4" x14ac:dyDescent="0.3">
      <c r="A3" t="s">
        <v>6</v>
      </c>
      <c r="B3">
        <v>48575</v>
      </c>
      <c r="C3" s="39">
        <v>4.6324999999999998E-2</v>
      </c>
    </row>
    <row r="4" spans="1:4" x14ac:dyDescent="0.3">
      <c r="A4"/>
    </row>
    <row r="5" spans="1:4" x14ac:dyDescent="0.3">
      <c r="A5" s="22"/>
      <c r="B5" s="22"/>
      <c r="C5" s="22"/>
      <c r="D5" s="22"/>
    </row>
    <row r="6" spans="1:4" ht="15.6" x14ac:dyDescent="0.3">
      <c r="A6" s="25" t="s">
        <v>32</v>
      </c>
    </row>
    <row r="7" spans="1:4" ht="72" x14ac:dyDescent="0.3">
      <c r="A7" s="24" t="s">
        <v>54</v>
      </c>
    </row>
    <row r="8" spans="1:4" x14ac:dyDescent="0.3">
      <c r="A8"/>
    </row>
    <row r="9" spans="1:4" ht="15.6" x14ac:dyDescent="0.3">
      <c r="A9" s="25" t="s">
        <v>36</v>
      </c>
    </row>
    <row r="10" spans="1:4" x14ac:dyDescent="0.3">
      <c r="A10" s="26" t="s">
        <v>33</v>
      </c>
    </row>
    <row r="11" spans="1:4" x14ac:dyDescent="0.3">
      <c r="A11" s="26" t="s">
        <v>34</v>
      </c>
    </row>
    <row r="12" spans="1:4" ht="43.2" x14ac:dyDescent="0.3">
      <c r="A12" s="23" t="s">
        <v>35</v>
      </c>
    </row>
    <row r="13" spans="1:4" ht="15.6" x14ac:dyDescent="0.3">
      <c r="A13" s="25" t="s">
        <v>37</v>
      </c>
    </row>
    <row r="14" spans="1:4" ht="86.4" x14ac:dyDescent="0.3">
      <c r="A14" s="23" t="s">
        <v>101</v>
      </c>
    </row>
    <row r="15" spans="1:4" ht="86.4" x14ac:dyDescent="0.3">
      <c r="A15" s="23" t="s">
        <v>102</v>
      </c>
    </row>
    <row r="16" spans="1:4" ht="15.6" x14ac:dyDescent="0.3">
      <c r="A16" s="28" t="s">
        <v>38</v>
      </c>
    </row>
    <row r="17" spans="1:1" x14ac:dyDescent="0.3">
      <c r="A17" s="26" t="s">
        <v>44</v>
      </c>
    </row>
    <row r="18" spans="1:1" x14ac:dyDescent="0.3">
      <c r="A18" s="26" t="s">
        <v>45</v>
      </c>
    </row>
    <row r="19" spans="1:1" ht="43.2" x14ac:dyDescent="0.3">
      <c r="A19" s="27" t="s">
        <v>39</v>
      </c>
    </row>
    <row r="20" spans="1:1" ht="15.6" x14ac:dyDescent="0.3">
      <c r="A20" s="28" t="s">
        <v>41</v>
      </c>
    </row>
    <row r="21" spans="1:1" x14ac:dyDescent="0.3">
      <c r="A21" s="26" t="s">
        <v>46</v>
      </c>
    </row>
    <row r="22" spans="1:1" x14ac:dyDescent="0.3">
      <c r="A22" s="26" t="s">
        <v>47</v>
      </c>
    </row>
    <row r="23" spans="1:1" x14ac:dyDescent="0.3">
      <c r="A23" s="26" t="s">
        <v>40</v>
      </c>
    </row>
    <row r="24" spans="1:1" ht="15.6" x14ac:dyDescent="0.3">
      <c r="A24" s="28" t="s">
        <v>42</v>
      </c>
    </row>
    <row r="25" spans="1:1" x14ac:dyDescent="0.3">
      <c r="A25" s="26" t="s">
        <v>48</v>
      </c>
    </row>
    <row r="26" spans="1:1" x14ac:dyDescent="0.3">
      <c r="A26" s="26" t="s">
        <v>49</v>
      </c>
    </row>
    <row r="27" spans="1:1" x14ac:dyDescent="0.3">
      <c r="A27" s="26" t="s">
        <v>43</v>
      </c>
    </row>
    <row r="28" spans="1:1" ht="15.6" x14ac:dyDescent="0.3">
      <c r="A28" s="28" t="s">
        <v>50</v>
      </c>
    </row>
    <row r="29" spans="1:1" x14ac:dyDescent="0.3">
      <c r="A29" s="26" t="s">
        <v>51</v>
      </c>
    </row>
    <row r="30" spans="1:1" x14ac:dyDescent="0.3">
      <c r="A30" s="26" t="s">
        <v>52</v>
      </c>
    </row>
    <row r="31" spans="1:1" x14ac:dyDescent="0.3">
      <c r="A31" s="26" t="s">
        <v>53</v>
      </c>
    </row>
    <row r="32" spans="1:1" ht="15.6" x14ac:dyDescent="0.3">
      <c r="A32" s="28" t="s">
        <v>55</v>
      </c>
    </row>
    <row r="33" spans="1:1" ht="148.80000000000001" customHeight="1" x14ac:dyDescent="0.3">
      <c r="A33" s="24" t="s">
        <v>103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99E9-36CE-4AB5-98F9-7E2BF4A7EB01}">
  <dimension ref="A1:B13"/>
  <sheetViews>
    <sheetView topLeftCell="A10" workbookViewId="0">
      <selection activeCell="E13" sqref="E13"/>
    </sheetView>
  </sheetViews>
  <sheetFormatPr defaultRowHeight="14.4" x14ac:dyDescent="0.3"/>
  <cols>
    <col min="1" max="1" width="21.6640625" customWidth="1"/>
    <col min="2" max="2" width="64.6640625" customWidth="1"/>
  </cols>
  <sheetData>
    <row r="1" spans="1:2" x14ac:dyDescent="0.3">
      <c r="A1" s="29" t="s">
        <v>57</v>
      </c>
      <c r="B1" s="29" t="s">
        <v>58</v>
      </c>
    </row>
    <row r="2" spans="1:2" ht="28.8" x14ac:dyDescent="0.3">
      <c r="A2" s="30" t="s">
        <v>56</v>
      </c>
      <c r="B2" s="24" t="s">
        <v>59</v>
      </c>
    </row>
    <row r="3" spans="1:2" x14ac:dyDescent="0.3">
      <c r="A3" s="30" t="s">
        <v>3</v>
      </c>
      <c r="B3" s="24" t="s">
        <v>60</v>
      </c>
    </row>
    <row r="4" spans="1:2" x14ac:dyDescent="0.3">
      <c r="A4" s="30" t="s">
        <v>61</v>
      </c>
      <c r="B4" s="24" t="s">
        <v>105</v>
      </c>
    </row>
    <row r="5" spans="1:2" ht="28.8" x14ac:dyDescent="0.3">
      <c r="A5" s="30" t="s">
        <v>62</v>
      </c>
      <c r="B5" s="24" t="s">
        <v>106</v>
      </c>
    </row>
    <row r="6" spans="1:2" ht="28.8" x14ac:dyDescent="0.3">
      <c r="A6" s="30" t="s">
        <v>63</v>
      </c>
      <c r="B6" s="24" t="s">
        <v>64</v>
      </c>
    </row>
    <row r="7" spans="1:2" x14ac:dyDescent="0.3">
      <c r="A7" s="30" t="s">
        <v>65</v>
      </c>
      <c r="B7" s="24" t="s">
        <v>66</v>
      </c>
    </row>
    <row r="8" spans="1:2" ht="28.8" x14ac:dyDescent="0.3">
      <c r="A8" s="30" t="s">
        <v>67</v>
      </c>
      <c r="B8" s="24" t="s">
        <v>68</v>
      </c>
    </row>
    <row r="9" spans="1:2" ht="28.8" x14ac:dyDescent="0.3">
      <c r="A9" s="30" t="s">
        <v>69</v>
      </c>
      <c r="B9" s="24" t="s">
        <v>70</v>
      </c>
    </row>
    <row r="10" spans="1:2" ht="28.8" x14ac:dyDescent="0.3">
      <c r="A10" s="30" t="s">
        <v>71</v>
      </c>
      <c r="B10" s="24" t="s">
        <v>72</v>
      </c>
    </row>
    <row r="11" spans="1:2" ht="43.2" x14ac:dyDescent="0.3">
      <c r="A11" s="30" t="s">
        <v>73</v>
      </c>
      <c r="B11" s="24" t="s">
        <v>104</v>
      </c>
    </row>
    <row r="12" spans="1:2" ht="43.2" x14ac:dyDescent="0.3">
      <c r="A12" s="30" t="s">
        <v>74</v>
      </c>
      <c r="B12" s="24" t="s">
        <v>75</v>
      </c>
    </row>
    <row r="13" spans="1:2" ht="204.6" customHeight="1" x14ac:dyDescent="0.3">
      <c r="A13" s="30" t="s">
        <v>76</v>
      </c>
      <c r="B13" s="24" t="s">
        <v>107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Итоги</vt:lpstr>
      <vt:lpstr>Сегменты</vt:lpstr>
      <vt:lpstr>Динамика</vt:lpstr>
      <vt:lpstr>Проверка групп</vt:lpstr>
      <vt:lpstr>Методология</vt:lpstr>
      <vt:lpstr>Динамика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2026-09-28T12:39:55Z</dcterms:created>
  <dcterms:modified xsi:type="dcterms:W3CDTF">2026-09-28T12:40:10Z</dcterms:modified>
</cp:coreProperties>
</file>